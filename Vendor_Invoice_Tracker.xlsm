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urag\Documents\"/>
    </mc:Choice>
  </mc:AlternateContent>
  <xr:revisionPtr revIDLastSave="0" documentId="8_{D9B0A5D9-6484-479C-98CC-D1BBB4993F32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Invoice_Log" sheetId="1" r:id="rId1"/>
    <sheet name="Dashboard" sheetId="2" r:id="rId2"/>
    <sheet name="Monthly_Report" sheetId="3" r:id="rId3"/>
    <sheet name="VBA_Code_Referenc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4" i="2" l="1"/>
  <c r="B14" i="2"/>
  <c r="C13" i="2"/>
  <c r="B13" i="2"/>
  <c r="C12" i="2"/>
  <c r="B12" i="2"/>
  <c r="C11" i="2"/>
  <c r="B11" i="2"/>
  <c r="F7" i="2"/>
  <c r="E7" i="2"/>
  <c r="D7" i="2"/>
  <c r="C7" i="2"/>
  <c r="B7" i="2"/>
  <c r="A7" i="2"/>
</calcChain>
</file>

<file path=xl/sharedStrings.xml><?xml version="1.0" encoding="utf-8"?>
<sst xmlns="http://schemas.openxmlformats.org/spreadsheetml/2006/main" count="397" uniqueCount="214">
  <si>
    <t>Invoice ID</t>
  </si>
  <si>
    <t>Vendor Name</t>
  </si>
  <si>
    <t>Category</t>
  </si>
  <si>
    <t>Invoice Date</t>
  </si>
  <si>
    <t>Due Date</t>
  </si>
  <si>
    <t>Amount (₹)</t>
  </si>
  <si>
    <t>Status</t>
  </si>
  <si>
    <t>Days Overdue</t>
  </si>
  <si>
    <t>Remarks</t>
  </si>
  <si>
    <t>INV-001</t>
  </si>
  <si>
    <t>Reliance Industries</t>
  </si>
  <si>
    <t>Raw Materials</t>
  </si>
  <si>
    <t>Paid</t>
  </si>
  <si>
    <t>Payment processed</t>
  </si>
  <si>
    <t>INV-002</t>
  </si>
  <si>
    <t>Mahindra Logistics</t>
  </si>
  <si>
    <t>Logistics</t>
  </si>
  <si>
    <t>Overdue</t>
  </si>
  <si>
    <t>Follow up needed</t>
  </si>
  <si>
    <t>INV-003</t>
  </si>
  <si>
    <t>INV-004</t>
  </si>
  <si>
    <t>INV-005</t>
  </si>
  <si>
    <t>Tata Consultancy Services</t>
  </si>
  <si>
    <t>IT Services</t>
  </si>
  <si>
    <t>INV-006</t>
  </si>
  <si>
    <t>Blue Dart Express</t>
  </si>
  <si>
    <t>INV-007</t>
  </si>
  <si>
    <t>HDFC Bank</t>
  </si>
  <si>
    <t>Financial Services</t>
  </si>
  <si>
    <t>Pending</t>
  </si>
  <si>
    <t>INV-008</t>
  </si>
  <si>
    <t>Wipro Ltd</t>
  </si>
  <si>
    <t>INV-009</t>
  </si>
  <si>
    <t>INV-010</t>
  </si>
  <si>
    <t>INV-011</t>
  </si>
  <si>
    <t>Asian Paints</t>
  </si>
  <si>
    <t>INV-012</t>
  </si>
  <si>
    <t>INV-013</t>
  </si>
  <si>
    <t>Larsen &amp; Toubro</t>
  </si>
  <si>
    <t>Construction</t>
  </si>
  <si>
    <t>INV-014</t>
  </si>
  <si>
    <t>INV-015</t>
  </si>
  <si>
    <t>INV-016</t>
  </si>
  <si>
    <t>INV-017</t>
  </si>
  <si>
    <t>INV-018</t>
  </si>
  <si>
    <t>INV-019</t>
  </si>
  <si>
    <t>INV-020</t>
  </si>
  <si>
    <t>INV-021</t>
  </si>
  <si>
    <t>INV-022</t>
  </si>
  <si>
    <t>INV-023</t>
  </si>
  <si>
    <t>INV-024</t>
  </si>
  <si>
    <t>INV-025</t>
  </si>
  <si>
    <t>INV-026</t>
  </si>
  <si>
    <t>Bajaj Electricals</t>
  </si>
  <si>
    <t>Equipment</t>
  </si>
  <si>
    <t>INV-027</t>
  </si>
  <si>
    <t>Infosys Ltd</t>
  </si>
  <si>
    <t>Software</t>
  </si>
  <si>
    <t>INV-028</t>
  </si>
  <si>
    <t>INV-029</t>
  </si>
  <si>
    <t>INV-030</t>
  </si>
  <si>
    <t>INV-031</t>
  </si>
  <si>
    <t>INV-032</t>
  </si>
  <si>
    <t>INV-033</t>
  </si>
  <si>
    <t>INV-034</t>
  </si>
  <si>
    <t>INV-035</t>
  </si>
  <si>
    <t>INV-036</t>
  </si>
  <si>
    <t>INV-037</t>
  </si>
  <si>
    <t>INV-038</t>
  </si>
  <si>
    <t>INV-039</t>
  </si>
  <si>
    <t>INV-040</t>
  </si>
  <si>
    <t>📊  VENDOR INVOICE TRACKER — DASHBOARD</t>
  </si>
  <si>
    <t>Last Updated: 29 April 2026   |   Data Source: Invoice_Log</t>
  </si>
  <si>
    <t>KEY PERFORMANCE INDICATORS</t>
  </si>
  <si>
    <t>Total Invoices</t>
  </si>
  <si>
    <t>Total Amount (₹)</t>
  </si>
  <si>
    <t>Paid (₹)</t>
  </si>
  <si>
    <t>Pending (₹)</t>
  </si>
  <si>
    <t>Overdue (₹)</t>
  </si>
  <si>
    <t>Overdue Count</t>
  </si>
  <si>
    <t>STATUS BREAKDOWN</t>
  </si>
  <si>
    <t>TOP VENDORS BY OUTSTANDING AMOUNT</t>
  </si>
  <si>
    <t>Count</t>
  </si>
  <si>
    <t>Vendor</t>
  </si>
  <si>
    <t>Total Outstanding</t>
  </si>
  <si>
    <t>TOTAL</t>
  </si>
  <si>
    <t>⚙️  MACRO CONTROLS — Run from Developer Tab or use buttons added via VBA</t>
  </si>
  <si>
    <t>Macro 1</t>
  </si>
  <si>
    <t>AddInvoice</t>
  </si>
  <si>
    <t>Opens form to add a new invoice entry</t>
  </si>
  <si>
    <t>Macro 2</t>
  </si>
  <si>
    <t>HighlightOverdue</t>
  </si>
  <si>
    <t>Scans Invoice_Log and highlights all overdue rows in red</t>
  </si>
  <si>
    <t>Macro 3</t>
  </si>
  <si>
    <t>GeneratePDFReport</t>
  </si>
  <si>
    <t>Exports Dashboard + Monthly_Report as a dated PDF</t>
  </si>
  <si>
    <t>VENDOR PAYMENT — MONTHLY REPORT</t>
  </si>
  <si>
    <t>Generated: 29 April 2026   |   This report is auto-populated by Macro</t>
  </si>
  <si>
    <t>▶  Click 'GeneratePDFReport' macro to populate this sheet with current month data</t>
  </si>
  <si>
    <t>VBA CODE REFERENCE — Copy this code into your Excel VBA Editor</t>
  </si>
  <si>
    <t>Section</t>
  </si>
  <si>
    <t>' ══════════════════════════════════════════════════════════════</t>
  </si>
  <si>
    <t>' VENDOR INVOICE TRACKER — VBA Module</t>
  </si>
  <si>
    <t>' HOW TO USE:</t>
  </si>
  <si>
    <t>'   1. Press Alt + F11 to open VBA Editor</t>
  </si>
  <si>
    <t>'   2. Insert &gt; Module</t>
  </si>
  <si>
    <t>'   3. Paste ALL code below into the module</t>
  </si>
  <si>
    <t>'   4. Close VBA Editor</t>
  </si>
  <si>
    <t>'   5. Run macros from Developer &gt; Macros</t>
  </si>
  <si>
    <t>' ── MACRO 1: Add New Invoice via UserForm ────────────────────</t>
  </si>
  <si>
    <t>Sub AddInvoice()</t>
  </si>
  <si>
    <t xml:space="preserve">    Dim ws As Worksheet</t>
  </si>
  <si>
    <t xml:space="preserve">    Set ws = ThisWorkbook.Sheets("Invoice_Log")</t>
  </si>
  <si>
    <t xml:space="preserve">    </t>
  </si>
  <si>
    <t xml:space="preserve">    Dim lastRow As Long</t>
  </si>
  <si>
    <t xml:space="preserve">    lastRow = ws.Cells(ws.Rows.Count, "A").End(xlUp).Row + 1</t>
  </si>
  <si>
    <t xml:space="preserve">    ' Auto-generate Invoice ID</t>
  </si>
  <si>
    <t xml:space="preserve">    Dim newID As String</t>
  </si>
  <si>
    <t xml:space="preserve">    newID = "INV-" &amp; Format(lastRow - 1, "000")</t>
  </si>
  <si>
    <t xml:space="preserve">    ' Input prompts (replace with UserForm for better UI)</t>
  </si>
  <si>
    <t xml:space="preserve">    Dim vendor As String, category As String</t>
  </si>
  <si>
    <t xml:space="preserve">    Dim invDate As String, dueDate As String</t>
  </si>
  <si>
    <t xml:space="preserve">    Dim amount As Double, remarks As String</t>
  </si>
  <si>
    <t xml:space="preserve">    vendor   = InputBox("Enter Vendor Name:", "Add Invoice")</t>
  </si>
  <si>
    <t xml:space="preserve">    If vendor = "" Then Exit Sub</t>
  </si>
  <si>
    <t xml:space="preserve">    category = InputBox("Enter Category (IT Services / Logistics / Raw Materials / Equipment / Financial Services):", "Add Invoice")</t>
  </si>
  <si>
    <t xml:space="preserve">    invDate  = InputBox("Invoice Date (DD-MM-YYYY):", "Add Invoice")</t>
  </si>
  <si>
    <t xml:space="preserve">    dueDate  = InputBox("Due Date (DD-MM-YYYY):", "Add Invoice")</t>
  </si>
  <si>
    <t xml:space="preserve">    amount   = CDbl(InputBox("Amount (₹):", "Add Invoice"))</t>
  </si>
  <si>
    <t xml:space="preserve">    remarks  = InputBox("Remarks (optional):", "Add Invoice")</t>
  </si>
  <si>
    <t xml:space="preserve">    ' Write to sheet</t>
  </si>
  <si>
    <t xml:space="preserve">    ws.Cells(lastRow, 1).Value = newID</t>
  </si>
  <si>
    <t xml:space="preserve">    ws.Cells(lastRow, 2).Value = vendor</t>
  </si>
  <si>
    <t xml:space="preserve">    ws.Cells(lastRow, 3).Value = category</t>
  </si>
  <si>
    <t xml:space="preserve">    ws.Cells(lastRow, 4).Value = CDate(invDate)</t>
  </si>
  <si>
    <t xml:space="preserve">    ws.Cells(lastRow, 5).Value = CDate(dueDate)</t>
  </si>
  <si>
    <t xml:space="preserve">    ws.Cells(lastRow, 6).Value = amount</t>
  </si>
  <si>
    <t xml:space="preserve">    ws.Cells(lastRow, 7).Value = "Pending"</t>
  </si>
  <si>
    <t xml:space="preserve">    ws.Cells(lastRow, 8).Value = 0</t>
  </si>
  <si>
    <t xml:space="preserve">    ws.Cells(lastRow, 9).Value = remarks</t>
  </si>
  <si>
    <t xml:space="preserve">    ' Format the new row</t>
  </si>
  <si>
    <t xml:space="preserve">    ws.Cells(lastRow, 4).NumberFormat = "DD-MMM-YYYY"</t>
  </si>
  <si>
    <t xml:space="preserve">    ws.Cells(lastRow, 5).NumberFormat = "DD-MMM-YYYY"</t>
  </si>
  <si>
    <t xml:space="preserve">    ws.Cells(lastRow, 6).NumberFormat = Chr(8377) &amp; "#,##0"</t>
  </si>
  <si>
    <t xml:space="preserve">    MsgBox "Invoice " &amp; newID &amp; " added successfully!", vbInformation, "Done"</t>
  </si>
  <si>
    <t>End Sub</t>
  </si>
  <si>
    <t>' ── MACRO 2: Highlight Overdue Invoices ─────────────────────</t>
  </si>
  <si>
    <t>Sub HighlightOverdue()</t>
  </si>
  <si>
    <t xml:space="preserve">    lastRow = ws.Cells(ws.Rows.Count, "A").End(xlUp).Row</t>
  </si>
  <si>
    <t xml:space="preserve">    Dim overdueCount As Integer</t>
  </si>
  <si>
    <t xml:space="preserve">    overdueCount = 0</t>
  </si>
  <si>
    <t xml:space="preserve">    Dim i As Long</t>
  </si>
  <si>
    <t xml:space="preserve">    For i = 2 To lastRow</t>
  </si>
  <si>
    <t xml:space="preserve">        Dim dueDate As Date</t>
  </si>
  <si>
    <t xml:space="preserve">        Dim status As String</t>
  </si>
  <si>
    <t xml:space="preserve">        </t>
  </si>
  <si>
    <t xml:space="preserve">        If ws.Cells(i, 5).Value &lt;&gt; "" Then</t>
  </si>
  <si>
    <t xml:space="preserve">            dueDate = ws.Cells(i, 5).Value</t>
  </si>
  <si>
    <t xml:space="preserve">            status  = ws.Cells(i, 7).Value</t>
  </si>
  <si>
    <t xml:space="preserve">            </t>
  </si>
  <si>
    <t xml:space="preserve">            If status &lt;&gt; "Paid" And dueDate &lt; Date Then</t>
  </si>
  <si>
    <t xml:space="preserve">                ' Mark as Overdue</t>
  </si>
  <si>
    <t xml:space="preserve">                ws.Cells(i, 7).Value = "Overdue"</t>
  </si>
  <si>
    <t xml:space="preserve">                ws.Cells(i, 8).Value = Date - dueDate</t>
  </si>
  <si>
    <t xml:space="preserve">                </t>
  </si>
  <si>
    <t xml:space="preserve">                ' Red background for entire row</t>
  </si>
  <si>
    <t xml:space="preserve">                ws.Range(ws.Cells(i, 1), ws.Cells(i, 9)).Interior.Color = RGB(255, 205, 210)</t>
  </si>
  <si>
    <t xml:space="preserve">                ws.Cells(i, 7).Font.Bold = True</t>
  </si>
  <si>
    <t xml:space="preserve">                ws.Cells(i, 7).Font.Color = RGB(183, 28, 28)</t>
  </si>
  <si>
    <t xml:space="preserve">                overdueCount = overdueCount + 1</t>
  </si>
  <si>
    <t xml:space="preserve">            End If</t>
  </si>
  <si>
    <t xml:space="preserve">        End If</t>
  </si>
  <si>
    <t xml:space="preserve">    Next i</t>
  </si>
  <si>
    <t xml:space="preserve">    MsgBox overdueCount &amp; " overdue invoice(s) flagged and highlighted.", vbExclamation, "Overdue Check Complete"</t>
  </si>
  <si>
    <t>' ── MACRO 3: Export PDF Report ───────────────────────────────</t>
  </si>
  <si>
    <t>Sub GeneratePDFReport()</t>
  </si>
  <si>
    <t xml:space="preserve">    Dim wsDash  As Worksheet</t>
  </si>
  <si>
    <t xml:space="preserve">    Dim wsReport As Worksheet</t>
  </si>
  <si>
    <t xml:space="preserve">    Dim wsLog   As Worksheet</t>
  </si>
  <si>
    <t xml:space="preserve">    Set wsDash   = ThisWorkbook.Sheets("Dashboard")</t>
  </si>
  <si>
    <t xml:space="preserve">    Set wsReport = ThisWorkbook.Sheets("Monthly_Report")</t>
  </si>
  <si>
    <t xml:space="preserve">    Set wsLog    = ThisWorkbook.Sheets("Invoice_Log")</t>
  </si>
  <si>
    <t xml:space="preserve">    ' ── Populate Monthly_Report sheet ──</t>
  </si>
  <si>
    <t xml:space="preserve">    wsReport.Rows("5:" &amp; wsReport.Rows.Count).ClearContents</t>
  </si>
  <si>
    <t xml:space="preserve">    lastRow = wsLog.Cells(wsLog.Rows.Count, "A").End(xlUp).Row</t>
  </si>
  <si>
    <t xml:space="preserve">    Dim reportRow As Long</t>
  </si>
  <si>
    <t xml:space="preserve">    reportRow = 5</t>
  </si>
  <si>
    <t xml:space="preserve">        wsReport.Cells(reportRow, 1).Value = wsLog.Cells(i, 1).Value  ' Invoice ID</t>
  </si>
  <si>
    <t xml:space="preserve">        wsReport.Cells(reportRow, 2).Value = wsLog.Cells(i, 2).Value  ' Vendor</t>
  </si>
  <si>
    <t xml:space="preserve">        wsReport.Cells(reportRow, 3).Value = wsLog.Cells(i, 6).Value  ' Amount</t>
  </si>
  <si>
    <t xml:space="preserve">        wsReport.Cells(reportRow, 4).Value = wsLog.Cells(i, 5).Value  ' Due Date</t>
  </si>
  <si>
    <t xml:space="preserve">        wsReport.Cells(reportRow, 5).Value = wsLog.Cells(i, 7).Value  ' Status</t>
  </si>
  <si>
    <t xml:space="preserve">        wsReport.Cells(reportRow, 6).Value = wsLog.Cells(i, 8).Value  ' Days Overdue</t>
  </si>
  <si>
    <t xml:space="preserve">        wsReport.Cells(reportRow, 3).NumberFormat = Chr(8377) &amp; "#,##0"</t>
  </si>
  <si>
    <t xml:space="preserve">        wsReport.Cells(reportRow, 4).NumberFormat = "DD-MMM-YYYY"</t>
  </si>
  <si>
    <t xml:space="preserve">        ' Color code by status</t>
  </si>
  <si>
    <t xml:space="preserve">        Select Case wsLog.Cells(i, 7).Value</t>
  </si>
  <si>
    <t xml:space="preserve">            Case "Paid"    : wsReport.Rows(reportRow).Interior.Color = RGB(200, 230, 201)</t>
  </si>
  <si>
    <t xml:space="preserve">            Case "Pending" : wsReport.Rows(reportRow).Interior.Color = RGB(255, 249, 196)</t>
  </si>
  <si>
    <t xml:space="preserve">            Case "Overdue" : wsReport.Rows(reportRow).Interior.Color = RGB(255, 205, 210)</t>
  </si>
  <si>
    <t xml:space="preserve">        End Select</t>
  </si>
  <si>
    <t xml:space="preserve">        reportRow = reportRow + 1</t>
  </si>
  <si>
    <t xml:space="preserve">    ' ── Export Dashboard + Monthly_Report to PDF ──</t>
  </si>
  <si>
    <t xml:space="preserve">    Dim pdfPath As String</t>
  </si>
  <si>
    <t xml:space="preserve">    pdfPath = ThisWorkbook.Path &amp; "\Invoice_Report_" &amp; Format(Date, "DD-MMM-YYYY") &amp; ".pdf"</t>
  </si>
  <si>
    <t xml:space="preserve">    ThisWorkbook.Sheets(Array("Dashboard", "Monthly_Report")).Select</t>
  </si>
  <si>
    <t xml:space="preserve">    ActiveSheet.ExportAsFixedFormat _</t>
  </si>
  <si>
    <t xml:space="preserve">        Type:=xlTypePDF, _</t>
  </si>
  <si>
    <t xml:space="preserve">        Filename:=pdfPath, _</t>
  </si>
  <si>
    <t xml:space="preserve">        Quality:=xlQualityStandard, _</t>
  </si>
  <si>
    <t xml:space="preserve">        IncludeDocProperties:=True, _</t>
  </si>
  <si>
    <t xml:space="preserve">        IgnorePrintAreas:=False</t>
  </si>
  <si>
    <t xml:space="preserve">    wsDash.Select</t>
  </si>
  <si>
    <t xml:space="preserve">    MsgBox "PDF saved to:" &amp; Chr(10) &amp; pdfPath, vbInformation, "PDF Exported"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</si>
</sst>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dd\-mmm\-yyyy"/>
    <numFmt numFmtId="166" formatCode="\₹#,##0"/>
  </numFmts>
  <fonts count="20" x14ac:knownFonts="1">
    <font>
      <sz val="11"/>
      <color theme="1"/>
      <name val="Calibri"/>
      <family val="2"/>
      <scheme val="minor"/>
    </font>
    <font>
      <b/>
      <sz val="11"/>
      <color rgb="FFFFFFFF"/>
      <name val="Arial"/>
    </font>
    <font>
      <sz val="10"/>
      <name val="Arial"/>
    </font>
    <font>
      <b/>
      <sz val="10"/>
      <color rgb="FF1B5E20"/>
      <name val="Arial"/>
    </font>
    <font>
      <b/>
      <sz val="10"/>
      <color rgb="FFB71C1C"/>
      <name val="Arial"/>
    </font>
    <font>
      <b/>
      <sz val="10"/>
      <color rgb="FFE65100"/>
      <name val="Arial"/>
    </font>
    <font>
      <b/>
      <sz val="16"/>
      <color rgb="FFFFFFFF"/>
      <name val="Arial"/>
    </font>
    <font>
      <sz val="10"/>
      <color rgb="FF757575"/>
      <name val="Arial"/>
    </font>
    <font>
      <b/>
      <sz val="9"/>
      <color rgb="FF424242"/>
      <name val="Arial"/>
    </font>
    <font>
      <b/>
      <sz val="14"/>
      <color rgb="FF1B5E20"/>
      <name val="Arial"/>
    </font>
    <font>
      <b/>
      <sz val="10"/>
      <color rgb="FFFFFFFF"/>
      <name val="Arial"/>
    </font>
    <font>
      <b/>
      <sz val="10"/>
      <name val="Arial"/>
    </font>
    <font>
      <b/>
      <sz val="11"/>
      <color rgb="FF212121"/>
      <name val="Arial"/>
    </font>
    <font>
      <b/>
      <sz val="15"/>
      <color rgb="FFFFFFFF"/>
      <name val="Arial"/>
    </font>
    <font>
      <b/>
      <sz val="11"/>
      <color rgb="FF1B5E20"/>
      <name val="Arial"/>
    </font>
    <font>
      <b/>
      <sz val="13"/>
      <color rgb="FFFFFFFF"/>
      <name val="Arial"/>
    </font>
    <font>
      <sz val="9"/>
      <name val="Courier New"/>
    </font>
    <font>
      <b/>
      <sz val="9"/>
      <color rgb="FF1B5E20"/>
      <name val="Courier New"/>
    </font>
    <font>
      <b/>
      <sz val="9"/>
      <color rgb="FF1565C0"/>
      <name val="Courier New"/>
    </font>
    <font>
      <b/>
      <sz val="11"/>
      <name val="Arial"/>
    </font>
  </fonts>
  <fills count="12">
    <fill>
      <patternFill patternType="none"/>
    </fill>
    <fill>
      <patternFill patternType="gray125"/>
    </fill>
    <fill>
      <patternFill patternType="solid">
        <fgColor rgb="FF1B5E20"/>
      </patternFill>
    </fill>
    <fill>
      <patternFill patternType="solid">
        <fgColor rgb="FFF5F5F5"/>
      </patternFill>
    </fill>
    <fill>
      <patternFill patternType="solid">
        <fgColor rgb="FFC8E6C9"/>
      </patternFill>
    </fill>
    <fill>
      <patternFill patternType="solid">
        <fgColor rgb="FFFFFFFF"/>
      </patternFill>
    </fill>
    <fill>
      <patternFill patternType="solid">
        <fgColor rgb="FFFFCDD2"/>
      </patternFill>
    </fill>
    <fill>
      <patternFill patternType="solid">
        <fgColor rgb="FFFFF9C4"/>
      </patternFill>
    </fill>
    <fill>
      <patternFill patternType="solid">
        <fgColor rgb="FF388E3C"/>
      </patternFill>
    </fill>
    <fill>
      <patternFill patternType="solid">
        <fgColor rgb="FFBBDEFB"/>
      </patternFill>
    </fill>
    <fill>
      <patternFill patternType="solid">
        <fgColor rgb="FF455A64"/>
      </patternFill>
    </fill>
    <fill>
      <patternFill patternType="solid">
        <fgColor rgb="FFF9A825"/>
      </patternFill>
    </fill>
  </fills>
  <borders count="4">
    <border>
      <left/>
      <right/>
      <top/>
      <bottom/>
      <diagonal/>
    </border>
    <border>
      <left style="thin">
        <color rgb="FFBDBDBD"/>
      </left>
      <right style="thin">
        <color rgb="FFBDBDBD"/>
      </right>
      <top style="thin">
        <color rgb="FFBDBDBD"/>
      </top>
      <bottom style="thin">
        <color rgb="FFBDBDBD"/>
      </bottom>
      <diagonal/>
    </border>
    <border>
      <left/>
      <right/>
      <top style="thin">
        <color rgb="FFBDBDBD"/>
      </top>
      <bottom style="thin">
        <color rgb="FFBDBDBD"/>
      </bottom>
      <diagonal/>
    </border>
    <border>
      <left/>
      <right style="thin">
        <color rgb="FFBDBDBD"/>
      </right>
      <top style="thin">
        <color rgb="FFBDBDBD"/>
      </top>
      <bottom style="thin">
        <color rgb="FFBDBDBD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2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left" vertical="center"/>
    </xf>
    <xf numFmtId="165" fontId="2" fillId="3" borderId="1" xfId="0" applyNumberFormat="1" applyFont="1" applyFill="1" applyBorder="1" applyAlignment="1">
      <alignment horizontal="center" vertical="center"/>
    </xf>
    <xf numFmtId="166" fontId="2" fillId="3" borderId="1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left" vertical="center"/>
    </xf>
    <xf numFmtId="165" fontId="2" fillId="5" borderId="1" xfId="0" applyNumberFormat="1" applyFont="1" applyFill="1" applyBorder="1" applyAlignment="1">
      <alignment horizontal="center" vertical="center"/>
    </xf>
    <xf numFmtId="166" fontId="2" fillId="5" borderId="1" xfId="0" applyNumberFormat="1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8" fillId="9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166" fontId="9" fillId="9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166" fontId="9" fillId="7" borderId="1" xfId="0" applyNumberFormat="1" applyFont="1" applyFill="1" applyBorder="1" applyAlignment="1">
      <alignment horizontal="center" vertical="center"/>
    </xf>
    <xf numFmtId="166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10" fillId="10" borderId="0" xfId="0" applyFont="1" applyFill="1" applyAlignment="1">
      <alignment horizontal="center" vertical="center" wrapText="1"/>
    </xf>
    <xf numFmtId="0" fontId="2" fillId="4" borderId="1" xfId="0" applyFont="1" applyFill="1" applyBorder="1" applyAlignment="1">
      <alignment horizontal="left" vertical="center"/>
    </xf>
    <xf numFmtId="0" fontId="2" fillId="4" borderId="1" xfId="0" applyFont="1" applyFill="1" applyBorder="1" applyAlignment="1">
      <alignment horizontal="center" vertical="center"/>
    </xf>
    <xf numFmtId="166" fontId="2" fillId="4" borderId="1" xfId="0" applyNumberFormat="1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2" fillId="7" borderId="1" xfId="0" applyFont="1" applyFill="1" applyBorder="1" applyAlignment="1">
      <alignment horizontal="center" vertical="center"/>
    </xf>
    <xf numFmtId="166" fontId="2" fillId="7" borderId="1" xfId="0" applyNumberFormat="1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/>
    </xf>
    <xf numFmtId="166" fontId="2" fillId="6" borderId="1" xfId="0" applyNumberFormat="1" applyFont="1" applyFill="1" applyBorder="1" applyAlignment="1">
      <alignment horizontal="center" vertical="center"/>
    </xf>
    <xf numFmtId="0" fontId="11" fillId="3" borderId="1" xfId="0" applyFont="1" applyFill="1" applyBorder="1" applyAlignment="1">
      <alignment horizontal="left" vertical="center"/>
    </xf>
    <xf numFmtId="0" fontId="11" fillId="3" borderId="1" xfId="0" applyFont="1" applyFill="1" applyBorder="1" applyAlignment="1">
      <alignment horizontal="center" vertical="center"/>
    </xf>
    <xf numFmtId="166" fontId="11" fillId="3" borderId="1" xfId="0" applyNumberFormat="1" applyFont="1" applyFill="1" applyBorder="1" applyAlignment="1">
      <alignment horizontal="center" vertical="center"/>
    </xf>
    <xf numFmtId="0" fontId="11" fillId="7" borderId="1" xfId="0" applyFont="1" applyFill="1" applyBorder="1" applyAlignment="1">
      <alignment horizontal="center" vertical="center"/>
    </xf>
    <xf numFmtId="0" fontId="19" fillId="0" borderId="0" xfId="0" applyFont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8" fillId="0" borderId="0" xfId="0" applyFont="1" applyAlignment="1">
      <alignment horizontal="left" vertical="center"/>
    </xf>
    <xf numFmtId="0" fontId="1" fillId="8" borderId="0" xfId="0" applyFont="1" applyFill="1" applyAlignment="1">
      <alignment horizontal="center" vertical="center" wrapText="1"/>
    </xf>
    <xf numFmtId="0" fontId="0" fillId="8" borderId="0" xfId="0" applyFill="1"/>
    <xf numFmtId="0" fontId="2" fillId="5" borderId="1" xfId="0" applyFont="1" applyFill="1" applyBorder="1" applyAlignment="1">
      <alignment horizontal="left" vertical="center"/>
    </xf>
    <xf numFmtId="0" fontId="0" fillId="0" borderId="2" xfId="0" applyBorder="1"/>
    <xf numFmtId="0" fontId="0" fillId="0" borderId="3" xfId="0" applyBorder="1"/>
    <xf numFmtId="0" fontId="7" fillId="3" borderId="0" xfId="0" applyFont="1" applyFill="1" applyAlignment="1">
      <alignment horizontal="center" vertical="center"/>
    </xf>
    <xf numFmtId="0" fontId="0" fillId="0" borderId="0" xfId="0"/>
    <xf numFmtId="0" fontId="12" fillId="11" borderId="0" xfId="0" applyFont="1" applyFill="1" applyAlignment="1">
      <alignment horizontal="center" vertical="center" wrapText="1"/>
    </xf>
    <xf numFmtId="0" fontId="0" fillId="11" borderId="0" xfId="0" applyFill="1"/>
    <xf numFmtId="0" fontId="6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4" fillId="4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388E3C"/>
  </sheetPr>
  <dimension ref="A1:I41"/>
  <sheetViews>
    <sheetView showGridLines="0" tabSelected="1" workbookViewId="0">
      <pane ySplit="1" topLeftCell="A2" activePane="bottomLeft" state="frozen"/>
      <selection pane="bottomLeft" activeCell="C8" sqref="C8"/>
    </sheetView>
  </sheetViews>
  <sheetFormatPr defaultRowHeight="14.4" x14ac:dyDescent="0.3"/>
  <cols>
    <col min="1" max="1" width="14" customWidth="1"/>
    <col min="2" max="2" width="22" customWidth="1"/>
    <col min="3" max="3" width="18" customWidth="1"/>
    <col min="4" max="5" width="15" customWidth="1"/>
    <col min="6" max="6" width="16" customWidth="1"/>
    <col min="7" max="8" width="14" customWidth="1"/>
    <col min="9" max="9" width="22" customWidth="1"/>
  </cols>
  <sheetData>
    <row r="1" spans="1:9" ht="34.950000000000003" customHeigh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spans="1:9" x14ac:dyDescent="0.3">
      <c r="A2" s="2" t="s">
        <v>9</v>
      </c>
      <c r="B2" s="3" t="s">
        <v>10</v>
      </c>
      <c r="C2" s="2" t="s">
        <v>11</v>
      </c>
      <c r="D2" s="4">
        <v>46133</v>
      </c>
      <c r="E2" s="4">
        <v>46178</v>
      </c>
      <c r="F2" s="5">
        <v>159200</v>
      </c>
      <c r="G2" s="6" t="s">
        <v>12</v>
      </c>
      <c r="H2" s="2">
        <v>0</v>
      </c>
      <c r="I2" s="3" t="s">
        <v>13</v>
      </c>
    </row>
    <row r="3" spans="1:9" x14ac:dyDescent="0.3">
      <c r="A3" s="7" t="s">
        <v>14</v>
      </c>
      <c r="B3" s="8" t="s">
        <v>15</v>
      </c>
      <c r="C3" s="7" t="s">
        <v>16</v>
      </c>
      <c r="D3" s="9">
        <v>46119</v>
      </c>
      <c r="E3" s="9">
        <v>46123</v>
      </c>
      <c r="F3" s="10">
        <v>68700</v>
      </c>
      <c r="G3" s="11" t="s">
        <v>17</v>
      </c>
      <c r="H3" s="7">
        <v>18</v>
      </c>
      <c r="I3" s="8" t="s">
        <v>18</v>
      </c>
    </row>
    <row r="4" spans="1:9" x14ac:dyDescent="0.3">
      <c r="A4" s="2" t="s">
        <v>19</v>
      </c>
      <c r="B4" s="3" t="s">
        <v>10</v>
      </c>
      <c r="C4" s="2" t="s">
        <v>11</v>
      </c>
      <c r="D4" s="4">
        <v>46061</v>
      </c>
      <c r="E4" s="4">
        <v>46091</v>
      </c>
      <c r="F4" s="5">
        <v>31700</v>
      </c>
      <c r="G4" s="6" t="s">
        <v>12</v>
      </c>
      <c r="H4" s="2">
        <v>0</v>
      </c>
      <c r="I4" s="3" t="s">
        <v>13</v>
      </c>
    </row>
    <row r="5" spans="1:9" x14ac:dyDescent="0.3">
      <c r="A5" s="7" t="s">
        <v>20</v>
      </c>
      <c r="B5" s="8" t="s">
        <v>10</v>
      </c>
      <c r="C5" s="7" t="s">
        <v>11</v>
      </c>
      <c r="D5" s="9">
        <v>46109</v>
      </c>
      <c r="E5" s="9">
        <v>46124</v>
      </c>
      <c r="F5" s="10">
        <v>280000</v>
      </c>
      <c r="G5" s="11" t="s">
        <v>17</v>
      </c>
      <c r="H5" s="7">
        <v>17</v>
      </c>
      <c r="I5" s="8" t="s">
        <v>18</v>
      </c>
    </row>
    <row r="6" spans="1:9" x14ac:dyDescent="0.3">
      <c r="A6" s="2" t="s">
        <v>21</v>
      </c>
      <c r="B6" s="3" t="s">
        <v>22</v>
      </c>
      <c r="C6" s="2" t="s">
        <v>23</v>
      </c>
      <c r="D6" s="4">
        <v>46065</v>
      </c>
      <c r="E6" s="4">
        <v>46080</v>
      </c>
      <c r="F6" s="5">
        <v>390400</v>
      </c>
      <c r="G6" s="11" t="s">
        <v>17</v>
      </c>
      <c r="H6" s="2">
        <v>61</v>
      </c>
      <c r="I6" s="3" t="s">
        <v>18</v>
      </c>
    </row>
    <row r="7" spans="1:9" x14ac:dyDescent="0.3">
      <c r="A7" s="7" t="s">
        <v>24</v>
      </c>
      <c r="B7" s="8" t="s">
        <v>25</v>
      </c>
      <c r="C7" s="7" t="s">
        <v>16</v>
      </c>
      <c r="D7" s="9">
        <v>46083</v>
      </c>
      <c r="E7" s="9">
        <v>46098</v>
      </c>
      <c r="F7" s="10">
        <v>250500</v>
      </c>
      <c r="G7" s="11" t="s">
        <v>17</v>
      </c>
      <c r="H7" s="7">
        <v>43</v>
      </c>
      <c r="I7" s="8" t="s">
        <v>18</v>
      </c>
    </row>
    <row r="8" spans="1:9" x14ac:dyDescent="0.3">
      <c r="A8" s="2" t="s">
        <v>26</v>
      </c>
      <c r="B8" s="3" t="s">
        <v>27</v>
      </c>
      <c r="C8" s="2" t="s">
        <v>28</v>
      </c>
      <c r="D8" s="4">
        <v>46136</v>
      </c>
      <c r="E8" s="4">
        <v>46151</v>
      </c>
      <c r="F8" s="5">
        <v>381000</v>
      </c>
      <c r="G8" s="12" t="s">
        <v>29</v>
      </c>
      <c r="H8" s="2">
        <v>0</v>
      </c>
      <c r="I8" s="3"/>
    </row>
    <row r="9" spans="1:9" x14ac:dyDescent="0.3">
      <c r="A9" s="7" t="s">
        <v>30</v>
      </c>
      <c r="B9" s="8" t="s">
        <v>31</v>
      </c>
      <c r="C9" s="7" t="s">
        <v>23</v>
      </c>
      <c r="D9" s="9">
        <v>46101</v>
      </c>
      <c r="E9" s="9">
        <v>46116</v>
      </c>
      <c r="F9" s="10">
        <v>127900</v>
      </c>
      <c r="G9" s="6" t="s">
        <v>12</v>
      </c>
      <c r="H9" s="7">
        <v>0</v>
      </c>
      <c r="I9" s="8" t="s">
        <v>13</v>
      </c>
    </row>
    <row r="10" spans="1:9" x14ac:dyDescent="0.3">
      <c r="A10" s="2" t="s">
        <v>32</v>
      </c>
      <c r="B10" s="3" t="s">
        <v>10</v>
      </c>
      <c r="C10" s="2" t="s">
        <v>11</v>
      </c>
      <c r="D10" s="4">
        <v>46125</v>
      </c>
      <c r="E10" s="4">
        <v>46155</v>
      </c>
      <c r="F10" s="5">
        <v>65700</v>
      </c>
      <c r="G10" s="6" t="s">
        <v>12</v>
      </c>
      <c r="H10" s="2">
        <v>0</v>
      </c>
      <c r="I10" s="3" t="s">
        <v>13</v>
      </c>
    </row>
    <row r="11" spans="1:9" x14ac:dyDescent="0.3">
      <c r="A11" s="7" t="s">
        <v>33</v>
      </c>
      <c r="B11" s="8" t="s">
        <v>31</v>
      </c>
      <c r="C11" s="7" t="s">
        <v>23</v>
      </c>
      <c r="D11" s="9">
        <v>46059</v>
      </c>
      <c r="E11" s="9">
        <v>46089</v>
      </c>
      <c r="F11" s="10">
        <v>438200</v>
      </c>
      <c r="G11" s="6" t="s">
        <v>12</v>
      </c>
      <c r="H11" s="7">
        <v>0</v>
      </c>
      <c r="I11" s="8" t="s">
        <v>13</v>
      </c>
    </row>
    <row r="12" spans="1:9" x14ac:dyDescent="0.3">
      <c r="A12" s="2" t="s">
        <v>34</v>
      </c>
      <c r="B12" s="3" t="s">
        <v>35</v>
      </c>
      <c r="C12" s="2" t="s">
        <v>11</v>
      </c>
      <c r="D12" s="4">
        <v>46068</v>
      </c>
      <c r="E12" s="4">
        <v>46083</v>
      </c>
      <c r="F12" s="5">
        <v>498500</v>
      </c>
      <c r="G12" s="11" t="s">
        <v>17</v>
      </c>
      <c r="H12" s="2">
        <v>58</v>
      </c>
      <c r="I12" s="3" t="s">
        <v>18</v>
      </c>
    </row>
    <row r="13" spans="1:9" x14ac:dyDescent="0.3">
      <c r="A13" s="7" t="s">
        <v>36</v>
      </c>
      <c r="B13" s="8" t="s">
        <v>10</v>
      </c>
      <c r="C13" s="7" t="s">
        <v>11</v>
      </c>
      <c r="D13" s="9">
        <v>46066</v>
      </c>
      <c r="E13" s="9">
        <v>46096</v>
      </c>
      <c r="F13" s="10">
        <v>449800</v>
      </c>
      <c r="G13" s="11" t="s">
        <v>17</v>
      </c>
      <c r="H13" s="7">
        <v>45</v>
      </c>
      <c r="I13" s="8" t="s">
        <v>18</v>
      </c>
    </row>
    <row r="14" spans="1:9" x14ac:dyDescent="0.3">
      <c r="A14" s="2" t="s">
        <v>37</v>
      </c>
      <c r="B14" s="3" t="s">
        <v>38</v>
      </c>
      <c r="C14" s="2" t="s">
        <v>39</v>
      </c>
      <c r="D14" s="4">
        <v>46090</v>
      </c>
      <c r="E14" s="4">
        <v>46135</v>
      </c>
      <c r="F14" s="5">
        <v>115800</v>
      </c>
      <c r="G14" s="11" t="s">
        <v>17</v>
      </c>
      <c r="H14" s="2">
        <v>6</v>
      </c>
      <c r="I14" s="3" t="s">
        <v>18</v>
      </c>
    </row>
    <row r="15" spans="1:9" x14ac:dyDescent="0.3">
      <c r="A15" s="7" t="s">
        <v>40</v>
      </c>
      <c r="B15" s="8" t="s">
        <v>10</v>
      </c>
      <c r="C15" s="7" t="s">
        <v>11</v>
      </c>
      <c r="D15" s="9">
        <v>46131</v>
      </c>
      <c r="E15" s="9">
        <v>46176</v>
      </c>
      <c r="F15" s="10">
        <v>134500</v>
      </c>
      <c r="G15" s="6" t="s">
        <v>12</v>
      </c>
      <c r="H15" s="7">
        <v>0</v>
      </c>
      <c r="I15" s="8" t="s">
        <v>13</v>
      </c>
    </row>
    <row r="16" spans="1:9" x14ac:dyDescent="0.3">
      <c r="A16" s="2" t="s">
        <v>41</v>
      </c>
      <c r="B16" s="3" t="s">
        <v>10</v>
      </c>
      <c r="C16" s="2" t="s">
        <v>11</v>
      </c>
      <c r="D16" s="4">
        <v>46107</v>
      </c>
      <c r="E16" s="4">
        <v>46122</v>
      </c>
      <c r="F16" s="5">
        <v>214300</v>
      </c>
      <c r="G16" s="6" t="s">
        <v>12</v>
      </c>
      <c r="H16" s="2">
        <v>0</v>
      </c>
      <c r="I16" s="3" t="s">
        <v>13</v>
      </c>
    </row>
    <row r="17" spans="1:9" x14ac:dyDescent="0.3">
      <c r="A17" s="7" t="s">
        <v>42</v>
      </c>
      <c r="B17" s="8" t="s">
        <v>35</v>
      </c>
      <c r="C17" s="7" t="s">
        <v>11</v>
      </c>
      <c r="D17" s="9">
        <v>46055</v>
      </c>
      <c r="E17" s="9">
        <v>46085</v>
      </c>
      <c r="F17" s="10">
        <v>100300</v>
      </c>
      <c r="G17" s="6" t="s">
        <v>12</v>
      </c>
      <c r="H17" s="7">
        <v>0</v>
      </c>
      <c r="I17" s="8" t="s">
        <v>13</v>
      </c>
    </row>
    <row r="18" spans="1:9" x14ac:dyDescent="0.3">
      <c r="A18" s="2" t="s">
        <v>43</v>
      </c>
      <c r="B18" s="3" t="s">
        <v>31</v>
      </c>
      <c r="C18" s="2" t="s">
        <v>23</v>
      </c>
      <c r="D18" s="4">
        <v>46110</v>
      </c>
      <c r="E18" s="4">
        <v>46138</v>
      </c>
      <c r="F18" s="5">
        <v>155000</v>
      </c>
      <c r="G18" s="11" t="s">
        <v>17</v>
      </c>
      <c r="H18" s="2">
        <v>3</v>
      </c>
      <c r="I18" s="3" t="s">
        <v>18</v>
      </c>
    </row>
    <row r="19" spans="1:9" x14ac:dyDescent="0.3">
      <c r="A19" s="7" t="s">
        <v>44</v>
      </c>
      <c r="B19" s="8" t="s">
        <v>38</v>
      </c>
      <c r="C19" s="7" t="s">
        <v>39</v>
      </c>
      <c r="D19" s="9">
        <v>46055</v>
      </c>
      <c r="E19" s="9">
        <v>46070</v>
      </c>
      <c r="F19" s="10">
        <v>295000</v>
      </c>
      <c r="G19" s="11" t="s">
        <v>17</v>
      </c>
      <c r="H19" s="7">
        <v>71</v>
      </c>
      <c r="I19" s="8" t="s">
        <v>18</v>
      </c>
    </row>
    <row r="20" spans="1:9" x14ac:dyDescent="0.3">
      <c r="A20" s="2" t="s">
        <v>45</v>
      </c>
      <c r="B20" s="3" t="s">
        <v>15</v>
      </c>
      <c r="C20" s="2" t="s">
        <v>16</v>
      </c>
      <c r="D20" s="4">
        <v>46116</v>
      </c>
      <c r="E20" s="4">
        <v>46146</v>
      </c>
      <c r="F20" s="5">
        <v>213900</v>
      </c>
      <c r="G20" s="6" t="s">
        <v>12</v>
      </c>
      <c r="H20" s="2">
        <v>0</v>
      </c>
      <c r="I20" s="3" t="s">
        <v>13</v>
      </c>
    </row>
    <row r="21" spans="1:9" x14ac:dyDescent="0.3">
      <c r="A21" s="7" t="s">
        <v>46</v>
      </c>
      <c r="B21" s="8" t="s">
        <v>25</v>
      </c>
      <c r="C21" s="7" t="s">
        <v>16</v>
      </c>
      <c r="D21" s="9">
        <v>46108</v>
      </c>
      <c r="E21" s="9">
        <v>46153</v>
      </c>
      <c r="F21" s="10">
        <v>185000</v>
      </c>
      <c r="G21" s="6" t="s">
        <v>12</v>
      </c>
      <c r="H21" s="7">
        <v>0</v>
      </c>
      <c r="I21" s="8" t="s">
        <v>13</v>
      </c>
    </row>
    <row r="22" spans="1:9" x14ac:dyDescent="0.3">
      <c r="A22" s="2" t="s">
        <v>47</v>
      </c>
      <c r="B22" s="3" t="s">
        <v>15</v>
      </c>
      <c r="C22" s="2" t="s">
        <v>16</v>
      </c>
      <c r="D22" s="4">
        <v>46132</v>
      </c>
      <c r="E22" s="4">
        <v>46162</v>
      </c>
      <c r="F22" s="5">
        <v>225300</v>
      </c>
      <c r="G22" s="6" t="s">
        <v>12</v>
      </c>
      <c r="H22" s="2">
        <v>0</v>
      </c>
      <c r="I22" s="3" t="s">
        <v>13</v>
      </c>
    </row>
    <row r="23" spans="1:9" x14ac:dyDescent="0.3">
      <c r="A23" s="7" t="s">
        <v>48</v>
      </c>
      <c r="B23" s="8" t="s">
        <v>10</v>
      </c>
      <c r="C23" s="7" t="s">
        <v>11</v>
      </c>
      <c r="D23" s="9">
        <v>46109</v>
      </c>
      <c r="E23" s="9">
        <v>46130</v>
      </c>
      <c r="F23" s="10">
        <v>474500</v>
      </c>
      <c r="G23" s="11" t="s">
        <v>17</v>
      </c>
      <c r="H23" s="7">
        <v>11</v>
      </c>
      <c r="I23" s="8" t="s">
        <v>18</v>
      </c>
    </row>
    <row r="24" spans="1:9" x14ac:dyDescent="0.3">
      <c r="A24" s="2" t="s">
        <v>49</v>
      </c>
      <c r="B24" s="3" t="s">
        <v>15</v>
      </c>
      <c r="C24" s="2" t="s">
        <v>16</v>
      </c>
      <c r="D24" s="4">
        <v>46053</v>
      </c>
      <c r="E24" s="4">
        <v>46083</v>
      </c>
      <c r="F24" s="5">
        <v>222400</v>
      </c>
      <c r="G24" s="11" t="s">
        <v>17</v>
      </c>
      <c r="H24" s="2">
        <v>58</v>
      </c>
      <c r="I24" s="3" t="s">
        <v>18</v>
      </c>
    </row>
    <row r="25" spans="1:9" x14ac:dyDescent="0.3">
      <c r="A25" s="7" t="s">
        <v>50</v>
      </c>
      <c r="B25" s="8" t="s">
        <v>35</v>
      </c>
      <c r="C25" s="7" t="s">
        <v>11</v>
      </c>
      <c r="D25" s="9">
        <v>46118</v>
      </c>
      <c r="E25" s="9">
        <v>46148</v>
      </c>
      <c r="F25" s="10">
        <v>88200</v>
      </c>
      <c r="G25" s="6" t="s">
        <v>12</v>
      </c>
      <c r="H25" s="7">
        <v>0</v>
      </c>
      <c r="I25" s="8" t="s">
        <v>13</v>
      </c>
    </row>
    <row r="26" spans="1:9" x14ac:dyDescent="0.3">
      <c r="A26" s="2" t="s">
        <v>51</v>
      </c>
      <c r="B26" s="3" t="s">
        <v>25</v>
      </c>
      <c r="C26" s="2" t="s">
        <v>16</v>
      </c>
      <c r="D26" s="4">
        <v>46068</v>
      </c>
      <c r="E26" s="4">
        <v>46098</v>
      </c>
      <c r="F26" s="5">
        <v>406600</v>
      </c>
      <c r="G26" s="11" t="s">
        <v>17</v>
      </c>
      <c r="H26" s="2">
        <v>43</v>
      </c>
      <c r="I26" s="3" t="s">
        <v>18</v>
      </c>
    </row>
    <row r="27" spans="1:9" x14ac:dyDescent="0.3">
      <c r="A27" s="7" t="s">
        <v>52</v>
      </c>
      <c r="B27" s="8" t="s">
        <v>53</v>
      </c>
      <c r="C27" s="7" t="s">
        <v>54</v>
      </c>
      <c r="D27" s="9">
        <v>46062</v>
      </c>
      <c r="E27" s="9">
        <v>46092</v>
      </c>
      <c r="F27" s="10">
        <v>204800</v>
      </c>
      <c r="G27" s="6" t="s">
        <v>12</v>
      </c>
      <c r="H27" s="7">
        <v>0</v>
      </c>
      <c r="I27" s="8" t="s">
        <v>13</v>
      </c>
    </row>
    <row r="28" spans="1:9" x14ac:dyDescent="0.3">
      <c r="A28" s="2" t="s">
        <v>55</v>
      </c>
      <c r="B28" s="3" t="s">
        <v>56</v>
      </c>
      <c r="C28" s="2" t="s">
        <v>57</v>
      </c>
      <c r="D28" s="4">
        <v>46071</v>
      </c>
      <c r="E28" s="4">
        <v>46101</v>
      </c>
      <c r="F28" s="5">
        <v>62700</v>
      </c>
      <c r="G28" s="6" t="s">
        <v>12</v>
      </c>
      <c r="H28" s="2">
        <v>0</v>
      </c>
      <c r="I28" s="3" t="s">
        <v>13</v>
      </c>
    </row>
    <row r="29" spans="1:9" x14ac:dyDescent="0.3">
      <c r="A29" s="7" t="s">
        <v>58</v>
      </c>
      <c r="B29" s="8" t="s">
        <v>10</v>
      </c>
      <c r="C29" s="7" t="s">
        <v>11</v>
      </c>
      <c r="D29" s="9">
        <v>46117</v>
      </c>
      <c r="E29" s="9">
        <v>46127</v>
      </c>
      <c r="F29" s="10">
        <v>98900</v>
      </c>
      <c r="G29" s="11" t="s">
        <v>17</v>
      </c>
      <c r="H29" s="7">
        <v>14</v>
      </c>
      <c r="I29" s="8" t="s">
        <v>18</v>
      </c>
    </row>
    <row r="30" spans="1:9" x14ac:dyDescent="0.3">
      <c r="A30" s="2" t="s">
        <v>59</v>
      </c>
      <c r="B30" s="3" t="s">
        <v>38</v>
      </c>
      <c r="C30" s="2" t="s">
        <v>39</v>
      </c>
      <c r="D30" s="4">
        <v>46128</v>
      </c>
      <c r="E30" s="4">
        <v>46158</v>
      </c>
      <c r="F30" s="5">
        <v>215100</v>
      </c>
      <c r="G30" s="12" t="s">
        <v>29</v>
      </c>
      <c r="H30" s="2">
        <v>0</v>
      </c>
      <c r="I30" s="3"/>
    </row>
    <row r="31" spans="1:9" x14ac:dyDescent="0.3">
      <c r="A31" s="7" t="s">
        <v>60</v>
      </c>
      <c r="B31" s="8" t="s">
        <v>35</v>
      </c>
      <c r="C31" s="7" t="s">
        <v>11</v>
      </c>
      <c r="D31" s="9">
        <v>46069</v>
      </c>
      <c r="E31" s="9">
        <v>46099</v>
      </c>
      <c r="F31" s="10">
        <v>305000</v>
      </c>
      <c r="G31" s="6" t="s">
        <v>12</v>
      </c>
      <c r="H31" s="7">
        <v>0</v>
      </c>
      <c r="I31" s="8" t="s">
        <v>13</v>
      </c>
    </row>
    <row r="32" spans="1:9" x14ac:dyDescent="0.3">
      <c r="A32" s="2" t="s">
        <v>61</v>
      </c>
      <c r="B32" s="3" t="s">
        <v>10</v>
      </c>
      <c r="C32" s="2" t="s">
        <v>11</v>
      </c>
      <c r="D32" s="4">
        <v>46068</v>
      </c>
      <c r="E32" s="4">
        <v>46098</v>
      </c>
      <c r="F32" s="5">
        <v>418000</v>
      </c>
      <c r="G32" s="11" t="s">
        <v>17</v>
      </c>
      <c r="H32" s="2">
        <v>43</v>
      </c>
      <c r="I32" s="3" t="s">
        <v>18</v>
      </c>
    </row>
    <row r="33" spans="1:9" x14ac:dyDescent="0.3">
      <c r="A33" s="7" t="s">
        <v>62</v>
      </c>
      <c r="B33" s="8" t="s">
        <v>31</v>
      </c>
      <c r="C33" s="7" t="s">
        <v>23</v>
      </c>
      <c r="D33" s="9">
        <v>46122</v>
      </c>
      <c r="E33" s="9">
        <v>46152</v>
      </c>
      <c r="F33" s="10">
        <v>242900</v>
      </c>
      <c r="G33" s="6" t="s">
        <v>12</v>
      </c>
      <c r="H33" s="7">
        <v>0</v>
      </c>
      <c r="I33" s="8" t="s">
        <v>13</v>
      </c>
    </row>
    <row r="34" spans="1:9" x14ac:dyDescent="0.3">
      <c r="A34" s="2" t="s">
        <v>63</v>
      </c>
      <c r="B34" s="3" t="s">
        <v>35</v>
      </c>
      <c r="C34" s="2" t="s">
        <v>11</v>
      </c>
      <c r="D34" s="4">
        <v>46136</v>
      </c>
      <c r="E34" s="4">
        <v>46132</v>
      </c>
      <c r="F34" s="5">
        <v>474200</v>
      </c>
      <c r="G34" s="11" t="s">
        <v>17</v>
      </c>
      <c r="H34" s="2">
        <v>9</v>
      </c>
      <c r="I34" s="3" t="s">
        <v>18</v>
      </c>
    </row>
    <row r="35" spans="1:9" x14ac:dyDescent="0.3">
      <c r="A35" s="7" t="s">
        <v>64</v>
      </c>
      <c r="B35" s="8" t="s">
        <v>25</v>
      </c>
      <c r="C35" s="7" t="s">
        <v>16</v>
      </c>
      <c r="D35" s="9">
        <v>46114</v>
      </c>
      <c r="E35" s="9">
        <v>46159</v>
      </c>
      <c r="F35" s="10">
        <v>493500</v>
      </c>
      <c r="G35" s="6" t="s">
        <v>12</v>
      </c>
      <c r="H35" s="7">
        <v>0</v>
      </c>
      <c r="I35" s="8" t="s">
        <v>13</v>
      </c>
    </row>
    <row r="36" spans="1:9" x14ac:dyDescent="0.3">
      <c r="A36" s="2" t="s">
        <v>65</v>
      </c>
      <c r="B36" s="3" t="s">
        <v>27</v>
      </c>
      <c r="C36" s="2" t="s">
        <v>28</v>
      </c>
      <c r="D36" s="4">
        <v>46055</v>
      </c>
      <c r="E36" s="4">
        <v>46100</v>
      </c>
      <c r="F36" s="5">
        <v>334300</v>
      </c>
      <c r="G36" s="6" t="s">
        <v>12</v>
      </c>
      <c r="H36" s="2">
        <v>0</v>
      </c>
      <c r="I36" s="3" t="s">
        <v>13</v>
      </c>
    </row>
    <row r="37" spans="1:9" x14ac:dyDescent="0.3">
      <c r="A37" s="7" t="s">
        <v>66</v>
      </c>
      <c r="B37" s="8" t="s">
        <v>56</v>
      </c>
      <c r="C37" s="7" t="s">
        <v>57</v>
      </c>
      <c r="D37" s="9">
        <v>46089</v>
      </c>
      <c r="E37" s="9">
        <v>46104</v>
      </c>
      <c r="F37" s="10">
        <v>297800</v>
      </c>
      <c r="G37" s="11" t="s">
        <v>17</v>
      </c>
      <c r="H37" s="7">
        <v>37</v>
      </c>
      <c r="I37" s="8" t="s">
        <v>18</v>
      </c>
    </row>
    <row r="38" spans="1:9" x14ac:dyDescent="0.3">
      <c r="A38" s="2" t="s">
        <v>67</v>
      </c>
      <c r="B38" s="3" t="s">
        <v>22</v>
      </c>
      <c r="C38" s="2" t="s">
        <v>23</v>
      </c>
      <c r="D38" s="4">
        <v>46060</v>
      </c>
      <c r="E38" s="4">
        <v>46090</v>
      </c>
      <c r="F38" s="5">
        <v>271200</v>
      </c>
      <c r="G38" s="6" t="s">
        <v>12</v>
      </c>
      <c r="H38" s="2">
        <v>0</v>
      </c>
      <c r="I38" s="3" t="s">
        <v>13</v>
      </c>
    </row>
    <row r="39" spans="1:9" x14ac:dyDescent="0.3">
      <c r="A39" s="7" t="s">
        <v>68</v>
      </c>
      <c r="B39" s="8" t="s">
        <v>10</v>
      </c>
      <c r="C39" s="7" t="s">
        <v>11</v>
      </c>
      <c r="D39" s="9">
        <v>46090</v>
      </c>
      <c r="E39" s="9">
        <v>46120</v>
      </c>
      <c r="F39" s="10">
        <v>140500</v>
      </c>
      <c r="G39" s="6" t="s">
        <v>12</v>
      </c>
      <c r="H39" s="7">
        <v>0</v>
      </c>
      <c r="I39" s="8" t="s">
        <v>13</v>
      </c>
    </row>
    <row r="40" spans="1:9" x14ac:dyDescent="0.3">
      <c r="A40" s="2" t="s">
        <v>69</v>
      </c>
      <c r="B40" s="3" t="s">
        <v>15</v>
      </c>
      <c r="C40" s="2" t="s">
        <v>16</v>
      </c>
      <c r="D40" s="4">
        <v>46064</v>
      </c>
      <c r="E40" s="4">
        <v>46079</v>
      </c>
      <c r="F40" s="5">
        <v>59900</v>
      </c>
      <c r="G40" s="11" t="s">
        <v>17</v>
      </c>
      <c r="H40" s="2">
        <v>62</v>
      </c>
      <c r="I40" s="3" t="s">
        <v>18</v>
      </c>
    </row>
    <row r="41" spans="1:9" x14ac:dyDescent="0.3">
      <c r="A41" s="7" t="s">
        <v>70</v>
      </c>
      <c r="B41" s="8" t="s">
        <v>35</v>
      </c>
      <c r="C41" s="7" t="s">
        <v>11</v>
      </c>
      <c r="D41" s="9">
        <v>46128</v>
      </c>
      <c r="E41" s="9">
        <v>46173</v>
      </c>
      <c r="F41" s="10">
        <v>416500</v>
      </c>
      <c r="G41" s="6" t="s">
        <v>12</v>
      </c>
      <c r="H41" s="7">
        <v>0</v>
      </c>
      <c r="I41" s="8" t="s">
        <v>13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B5E20"/>
  </sheetPr>
  <dimension ref="A1:H19"/>
  <sheetViews>
    <sheetView showGridLines="0" workbookViewId="0"/>
  </sheetViews>
  <sheetFormatPr defaultRowHeight="14.4" x14ac:dyDescent="0.3"/>
  <cols>
    <col min="1" max="1" width="16" customWidth="1"/>
    <col min="2" max="2" width="22" customWidth="1"/>
    <col min="3" max="3" width="20" customWidth="1"/>
    <col min="4" max="4" width="16" customWidth="1"/>
    <col min="5" max="5" width="14" customWidth="1"/>
    <col min="6" max="6" width="20" customWidth="1"/>
    <col min="7" max="7" width="16" customWidth="1"/>
    <col min="8" max="8" width="18" customWidth="1"/>
  </cols>
  <sheetData>
    <row r="1" spans="1:8" ht="40.049999999999997" customHeight="1" x14ac:dyDescent="0.3">
      <c r="A1" s="50" t="s">
        <v>71</v>
      </c>
      <c r="B1" s="47"/>
      <c r="C1" s="47"/>
      <c r="D1" s="47"/>
      <c r="E1" s="47"/>
      <c r="F1" s="47"/>
      <c r="G1" s="47"/>
      <c r="H1" s="47"/>
    </row>
    <row r="2" spans="1:8" ht="19.95" customHeight="1" x14ac:dyDescent="0.3">
      <c r="A2" s="46" t="s">
        <v>72</v>
      </c>
      <c r="B2" s="47"/>
      <c r="C2" s="47"/>
      <c r="D2" s="47"/>
      <c r="E2" s="47"/>
      <c r="F2" s="47"/>
      <c r="G2" s="47"/>
      <c r="H2" s="47"/>
    </row>
    <row r="4" spans="1:8" ht="28.05" customHeight="1" x14ac:dyDescent="0.3">
      <c r="A4" s="41" t="s">
        <v>73</v>
      </c>
      <c r="B4" s="42"/>
      <c r="C4" s="42"/>
      <c r="D4" s="42"/>
      <c r="E4" s="42"/>
      <c r="F4" s="42"/>
      <c r="G4" s="42"/>
      <c r="H4" s="42"/>
    </row>
    <row r="5" spans="1:8" ht="19.95" customHeight="1" x14ac:dyDescent="0.3"/>
    <row r="6" spans="1:8" ht="31.95" customHeight="1" x14ac:dyDescent="0.3">
      <c r="A6" s="13" t="s">
        <v>74</v>
      </c>
      <c r="B6" s="13" t="s">
        <v>75</v>
      </c>
      <c r="C6" s="14" t="s">
        <v>76</v>
      </c>
      <c r="D6" s="15" t="s">
        <v>77</v>
      </c>
      <c r="E6" s="16" t="s">
        <v>78</v>
      </c>
      <c r="F6" s="16" t="s">
        <v>79</v>
      </c>
    </row>
    <row r="7" spans="1:8" ht="37.950000000000003" customHeight="1" x14ac:dyDescent="0.3">
      <c r="A7" s="17">
        <f>COUNTA(Invoice_Log!A2:A1000)</f>
        <v>40</v>
      </c>
      <c r="B7" s="18">
        <f>SUM(Invoice_Log!F2:F1000)</f>
        <v>10007700</v>
      </c>
      <c r="C7" s="19">
        <f>SUMIF(Invoice_Log!G2:G1000,"Paid",Invoice_Log!F2:F1000)</f>
        <v>4455600</v>
      </c>
      <c r="D7" s="20">
        <f>SUMIF(Invoice_Log!G2:G1000,"Pending",Invoice_Log!F2:F1000)</f>
        <v>596100</v>
      </c>
      <c r="E7" s="21">
        <f>SUMIF(Invoice_Log!G2:G1000,"Overdue",Invoice_Log!F2:F1000)</f>
        <v>4956000</v>
      </c>
      <c r="F7" s="22">
        <f>COUNTIF(Invoice_Log!G2:G1000,"Overdue")</f>
        <v>17</v>
      </c>
    </row>
    <row r="9" spans="1:8" ht="28.05" customHeight="1" x14ac:dyDescent="0.3">
      <c r="A9" s="41" t="s">
        <v>80</v>
      </c>
      <c r="B9" s="42"/>
      <c r="C9" s="42"/>
      <c r="E9" s="41" t="s">
        <v>81</v>
      </c>
      <c r="F9" s="42"/>
      <c r="G9" s="42"/>
      <c r="H9" s="42"/>
    </row>
    <row r="10" spans="1:8" x14ac:dyDescent="0.3">
      <c r="A10" s="23" t="s">
        <v>6</v>
      </c>
      <c r="B10" s="23" t="s">
        <v>82</v>
      </c>
      <c r="C10" s="23" t="s">
        <v>5</v>
      </c>
      <c r="E10" s="23" t="s">
        <v>83</v>
      </c>
      <c r="F10" s="23" t="s">
        <v>29</v>
      </c>
      <c r="G10" s="23" t="s">
        <v>17</v>
      </c>
      <c r="H10" s="23" t="s">
        <v>84</v>
      </c>
    </row>
    <row r="11" spans="1:8" ht="24" customHeight="1" x14ac:dyDescent="0.3">
      <c r="A11" s="24" t="s">
        <v>12</v>
      </c>
      <c r="B11" s="25">
        <f>COUNTIF(Invoice_Log!G2:G1000,"Paid")</f>
        <v>21</v>
      </c>
      <c r="C11" s="26">
        <f>SUMIF(Invoice_Log!G2:G1000,"Paid",Invoice_Log!F2:F1000)</f>
        <v>4455600</v>
      </c>
    </row>
    <row r="12" spans="1:8" ht="24" customHeight="1" x14ac:dyDescent="0.3">
      <c r="A12" s="27" t="s">
        <v>29</v>
      </c>
      <c r="B12" s="28">
        <f>COUNTIF(Invoice_Log!G2:G1000,"Pending")</f>
        <v>2</v>
      </c>
      <c r="C12" s="29">
        <f>SUMIF(Invoice_Log!G2:G1000,"Pending",Invoice_Log!F2:F1000)</f>
        <v>596100</v>
      </c>
    </row>
    <row r="13" spans="1:8" ht="24" customHeight="1" x14ac:dyDescent="0.3">
      <c r="A13" s="30" t="s">
        <v>17</v>
      </c>
      <c r="B13" s="31">
        <f>COUNTIF(Invoice_Log!G2:G1000,"Overdue")</f>
        <v>17</v>
      </c>
      <c r="C13" s="32">
        <f>SUMIF(Invoice_Log!G2:G1000,"Overdue",Invoice_Log!F2:F1000)</f>
        <v>4956000</v>
      </c>
    </row>
    <row r="14" spans="1:8" ht="24" customHeight="1" x14ac:dyDescent="0.3">
      <c r="A14" s="33" t="s">
        <v>85</v>
      </c>
      <c r="B14" s="34">
        <f>SUM(B11:B13)</f>
        <v>40</v>
      </c>
      <c r="C14" s="35">
        <f>SUM(C11:C13)</f>
        <v>10007700</v>
      </c>
    </row>
    <row r="16" spans="1:8" ht="28.05" customHeight="1" x14ac:dyDescent="0.3">
      <c r="A16" s="48" t="s">
        <v>86</v>
      </c>
      <c r="B16" s="49"/>
      <c r="C16" s="49"/>
      <c r="D16" s="49"/>
      <c r="E16" s="49"/>
      <c r="F16" s="49"/>
      <c r="G16" s="49"/>
      <c r="H16" s="49"/>
    </row>
    <row r="17" spans="1:8" ht="22.05" customHeight="1" x14ac:dyDescent="0.3">
      <c r="A17" s="36" t="s">
        <v>87</v>
      </c>
      <c r="B17" s="36" t="s">
        <v>88</v>
      </c>
      <c r="C17" s="43" t="s">
        <v>89</v>
      </c>
      <c r="D17" s="44"/>
      <c r="E17" s="44"/>
      <c r="F17" s="44"/>
      <c r="G17" s="44"/>
      <c r="H17" s="45"/>
    </row>
    <row r="18" spans="1:8" ht="22.05" customHeight="1" x14ac:dyDescent="0.3">
      <c r="A18" s="36" t="s">
        <v>90</v>
      </c>
      <c r="B18" s="36" t="s">
        <v>91</v>
      </c>
      <c r="C18" s="43" t="s">
        <v>92</v>
      </c>
      <c r="D18" s="44"/>
      <c r="E18" s="44"/>
      <c r="F18" s="44"/>
      <c r="G18" s="44"/>
      <c r="H18" s="45"/>
    </row>
    <row r="19" spans="1:8" ht="22.05" customHeight="1" x14ac:dyDescent="0.3">
      <c r="A19" s="36" t="s">
        <v>93</v>
      </c>
      <c r="B19" s="36" t="s">
        <v>94</v>
      </c>
      <c r="C19" s="43" t="s">
        <v>95</v>
      </c>
      <c r="D19" s="44"/>
      <c r="E19" s="44"/>
      <c r="F19" s="44"/>
      <c r="G19" s="44"/>
      <c r="H19" s="45"/>
    </row>
  </sheetData>
  <mergeCells count="9">
    <mergeCell ref="A1:H1"/>
    <mergeCell ref="A4:H4"/>
    <mergeCell ref="C19:H19"/>
    <mergeCell ref="E9:H9"/>
    <mergeCell ref="A2:H2"/>
    <mergeCell ref="A16:H16"/>
    <mergeCell ref="C17:H17"/>
    <mergeCell ref="A9:C9"/>
    <mergeCell ref="C18:H18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9A825"/>
  </sheetPr>
  <dimension ref="A1:F5"/>
  <sheetViews>
    <sheetView showGridLines="0" workbookViewId="0"/>
  </sheetViews>
  <sheetFormatPr defaultRowHeight="14.4" x14ac:dyDescent="0.3"/>
  <cols>
    <col min="1" max="1" width="14" customWidth="1"/>
    <col min="2" max="2" width="28" customWidth="1"/>
    <col min="3" max="3" width="16" customWidth="1"/>
    <col min="4" max="4" width="15" customWidth="1"/>
    <col min="5" max="6" width="14" customWidth="1"/>
  </cols>
  <sheetData>
    <row r="1" spans="1:6" ht="37.950000000000003" customHeight="1" x14ac:dyDescent="0.3">
      <c r="A1" s="51" t="s">
        <v>96</v>
      </c>
      <c r="B1" s="47"/>
      <c r="C1" s="47"/>
      <c r="D1" s="47"/>
      <c r="E1" s="47"/>
      <c r="F1" s="47"/>
    </row>
    <row r="2" spans="1:6" ht="19.95" customHeight="1" x14ac:dyDescent="0.3">
      <c r="A2" s="46" t="s">
        <v>97</v>
      </c>
      <c r="B2" s="47"/>
      <c r="C2" s="47"/>
      <c r="D2" s="47"/>
      <c r="E2" s="47"/>
      <c r="F2" s="47"/>
    </row>
    <row r="4" spans="1:6" ht="30" customHeight="1" x14ac:dyDescent="0.3">
      <c r="A4" s="1" t="s">
        <v>0</v>
      </c>
      <c r="B4" s="1" t="s">
        <v>1</v>
      </c>
      <c r="C4" s="1" t="s">
        <v>5</v>
      </c>
      <c r="D4" s="1" t="s">
        <v>4</v>
      </c>
      <c r="E4" s="1" t="s">
        <v>6</v>
      </c>
      <c r="F4" s="1" t="s">
        <v>7</v>
      </c>
    </row>
    <row r="5" spans="1:6" ht="28.05" customHeight="1" x14ac:dyDescent="0.3">
      <c r="A5" s="52" t="s">
        <v>98</v>
      </c>
      <c r="B5" s="47"/>
      <c r="C5" s="47"/>
      <c r="D5" s="47"/>
      <c r="E5" s="47"/>
      <c r="F5" s="47"/>
    </row>
  </sheetData>
  <mergeCells count="3">
    <mergeCell ref="A2:F2"/>
    <mergeCell ref="A1:F1"/>
    <mergeCell ref="A5:F5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55A64"/>
  </sheetPr>
  <dimension ref="A1:B152"/>
  <sheetViews>
    <sheetView showGridLines="0" topLeftCell="A46" workbookViewId="0">
      <selection activeCell="B66" sqref="B66"/>
    </sheetView>
  </sheetViews>
  <sheetFormatPr defaultRowHeight="14.4" x14ac:dyDescent="0.3"/>
  <cols>
    <col min="1" max="1" width="25" customWidth="1"/>
    <col min="2" max="2" width="90" customWidth="1"/>
  </cols>
  <sheetData>
    <row r="1" spans="1:2" ht="34.950000000000003" customHeight="1" x14ac:dyDescent="0.3">
      <c r="A1" s="53" t="s">
        <v>99</v>
      </c>
      <c r="B1" s="47"/>
    </row>
    <row r="3" spans="1:2" x14ac:dyDescent="0.3">
      <c r="A3" s="37" t="s">
        <v>100</v>
      </c>
      <c r="B3" s="38" t="s">
        <v>101</v>
      </c>
    </row>
    <row r="4" spans="1:2" x14ac:dyDescent="0.3">
      <c r="B4" s="39" t="s">
        <v>102</v>
      </c>
    </row>
    <row r="5" spans="1:2" x14ac:dyDescent="0.3">
      <c r="B5" s="39" t="s">
        <v>103</v>
      </c>
    </row>
    <row r="6" spans="1:2" x14ac:dyDescent="0.3">
      <c r="B6" s="39" t="s">
        <v>104</v>
      </c>
    </row>
    <row r="7" spans="1:2" x14ac:dyDescent="0.3">
      <c r="B7" s="39" t="s">
        <v>105</v>
      </c>
    </row>
    <row r="8" spans="1:2" x14ac:dyDescent="0.3">
      <c r="B8" s="39" t="s">
        <v>106</v>
      </c>
    </row>
    <row r="9" spans="1:2" x14ac:dyDescent="0.3">
      <c r="B9" s="39" t="s">
        <v>107</v>
      </c>
    </row>
    <row r="10" spans="1:2" x14ac:dyDescent="0.3">
      <c r="B10" s="39" t="s">
        <v>108</v>
      </c>
    </row>
    <row r="11" spans="1:2" x14ac:dyDescent="0.3">
      <c r="B11" s="38" t="s">
        <v>101</v>
      </c>
    </row>
    <row r="12" spans="1:2" x14ac:dyDescent="0.3">
      <c r="B12" s="39"/>
    </row>
    <row r="13" spans="1:2" x14ac:dyDescent="0.3">
      <c r="B13" s="38" t="s">
        <v>109</v>
      </c>
    </row>
    <row r="14" spans="1:2" x14ac:dyDescent="0.3">
      <c r="B14" s="40" t="s">
        <v>110</v>
      </c>
    </row>
    <row r="15" spans="1:2" x14ac:dyDescent="0.3">
      <c r="B15" s="39" t="s">
        <v>111</v>
      </c>
    </row>
    <row r="16" spans="1:2" x14ac:dyDescent="0.3">
      <c r="B16" s="39" t="s">
        <v>112</v>
      </c>
    </row>
    <row r="17" spans="2:2" x14ac:dyDescent="0.3">
      <c r="B17" s="39" t="s">
        <v>113</v>
      </c>
    </row>
    <row r="18" spans="2:2" x14ac:dyDescent="0.3">
      <c r="B18" s="39" t="s">
        <v>114</v>
      </c>
    </row>
    <row r="19" spans="2:2" x14ac:dyDescent="0.3">
      <c r="B19" s="39" t="s">
        <v>115</v>
      </c>
    </row>
    <row r="20" spans="2:2" x14ac:dyDescent="0.3">
      <c r="B20" s="39" t="s">
        <v>113</v>
      </c>
    </row>
    <row r="21" spans="2:2" x14ac:dyDescent="0.3">
      <c r="B21" s="39" t="s">
        <v>116</v>
      </c>
    </row>
    <row r="22" spans="2:2" x14ac:dyDescent="0.3">
      <c r="B22" s="39" t="s">
        <v>117</v>
      </c>
    </row>
    <row r="23" spans="2:2" x14ac:dyDescent="0.3">
      <c r="B23" s="39" t="s">
        <v>118</v>
      </c>
    </row>
    <row r="24" spans="2:2" x14ac:dyDescent="0.3">
      <c r="B24" s="39" t="s">
        <v>113</v>
      </c>
    </row>
    <row r="25" spans="2:2" x14ac:dyDescent="0.3">
      <c r="B25" s="39" t="s">
        <v>119</v>
      </c>
    </row>
    <row r="26" spans="2:2" x14ac:dyDescent="0.3">
      <c r="B26" s="39" t="s">
        <v>120</v>
      </c>
    </row>
    <row r="27" spans="2:2" x14ac:dyDescent="0.3">
      <c r="B27" s="39" t="s">
        <v>121</v>
      </c>
    </row>
    <row r="28" spans="2:2" x14ac:dyDescent="0.3">
      <c r="B28" s="39" t="s">
        <v>122</v>
      </c>
    </row>
    <row r="29" spans="2:2" x14ac:dyDescent="0.3">
      <c r="B29" s="39" t="s">
        <v>113</v>
      </c>
    </row>
    <row r="30" spans="2:2" x14ac:dyDescent="0.3">
      <c r="B30" s="39" t="s">
        <v>123</v>
      </c>
    </row>
    <row r="31" spans="2:2" x14ac:dyDescent="0.3">
      <c r="B31" s="39" t="s">
        <v>124</v>
      </c>
    </row>
    <row r="32" spans="2:2" x14ac:dyDescent="0.3">
      <c r="B32" s="39" t="s">
        <v>125</v>
      </c>
    </row>
    <row r="33" spans="2:2" x14ac:dyDescent="0.3">
      <c r="B33" s="39" t="s">
        <v>126</v>
      </c>
    </row>
    <row r="34" spans="2:2" x14ac:dyDescent="0.3">
      <c r="B34" s="39" t="s">
        <v>127</v>
      </c>
    </row>
    <row r="35" spans="2:2" x14ac:dyDescent="0.3">
      <c r="B35" s="39" t="s">
        <v>128</v>
      </c>
    </row>
    <row r="36" spans="2:2" x14ac:dyDescent="0.3">
      <c r="B36" s="39" t="s">
        <v>129</v>
      </c>
    </row>
    <row r="37" spans="2:2" x14ac:dyDescent="0.3">
      <c r="B37" s="39" t="s">
        <v>113</v>
      </c>
    </row>
    <row r="38" spans="2:2" x14ac:dyDescent="0.3">
      <c r="B38" s="39" t="s">
        <v>130</v>
      </c>
    </row>
    <row r="39" spans="2:2" x14ac:dyDescent="0.3">
      <c r="B39" s="39" t="s">
        <v>131</v>
      </c>
    </row>
    <row r="40" spans="2:2" x14ac:dyDescent="0.3">
      <c r="B40" s="39" t="s">
        <v>132</v>
      </c>
    </row>
    <row r="41" spans="2:2" x14ac:dyDescent="0.3">
      <c r="B41" s="39" t="s">
        <v>133</v>
      </c>
    </row>
    <row r="42" spans="2:2" x14ac:dyDescent="0.3">
      <c r="B42" s="39" t="s">
        <v>134</v>
      </c>
    </row>
    <row r="43" spans="2:2" x14ac:dyDescent="0.3">
      <c r="B43" s="39" t="s">
        <v>135</v>
      </c>
    </row>
    <row r="44" spans="2:2" x14ac:dyDescent="0.3">
      <c r="B44" s="39" t="s">
        <v>136</v>
      </c>
    </row>
    <row r="45" spans="2:2" x14ac:dyDescent="0.3">
      <c r="B45" s="39" t="s">
        <v>137</v>
      </c>
    </row>
    <row r="46" spans="2:2" x14ac:dyDescent="0.3">
      <c r="B46" s="39" t="s">
        <v>138</v>
      </c>
    </row>
    <row r="47" spans="2:2" x14ac:dyDescent="0.3">
      <c r="B47" s="39" t="s">
        <v>139</v>
      </c>
    </row>
    <row r="48" spans="2:2" x14ac:dyDescent="0.3">
      <c r="B48" s="39" t="s">
        <v>113</v>
      </c>
    </row>
    <row r="49" spans="2:2" x14ac:dyDescent="0.3">
      <c r="B49" s="39" t="s">
        <v>140</v>
      </c>
    </row>
    <row r="50" spans="2:2" x14ac:dyDescent="0.3">
      <c r="B50" s="39" t="s">
        <v>141</v>
      </c>
    </row>
    <row r="51" spans="2:2" x14ac:dyDescent="0.3">
      <c r="B51" s="39" t="s">
        <v>142</v>
      </c>
    </row>
    <row r="52" spans="2:2" x14ac:dyDescent="0.3">
      <c r="B52" s="39" t="s">
        <v>143</v>
      </c>
    </row>
    <row r="53" spans="2:2" x14ac:dyDescent="0.3">
      <c r="B53" s="39" t="s">
        <v>113</v>
      </c>
    </row>
    <row r="54" spans="2:2" x14ac:dyDescent="0.3">
      <c r="B54" s="39" t="s">
        <v>144</v>
      </c>
    </row>
    <row r="55" spans="2:2" x14ac:dyDescent="0.3">
      <c r="B55" s="40" t="s">
        <v>145</v>
      </c>
    </row>
    <row r="56" spans="2:2" x14ac:dyDescent="0.3">
      <c r="B56" s="39"/>
    </row>
    <row r="57" spans="2:2" x14ac:dyDescent="0.3">
      <c r="B57" s="38" t="s">
        <v>146</v>
      </c>
    </row>
    <row r="58" spans="2:2" x14ac:dyDescent="0.3">
      <c r="B58" s="40" t="s">
        <v>147</v>
      </c>
    </row>
    <row r="59" spans="2:2" x14ac:dyDescent="0.3">
      <c r="B59" s="39" t="s">
        <v>111</v>
      </c>
    </row>
    <row r="60" spans="2:2" x14ac:dyDescent="0.3">
      <c r="B60" s="39" t="s">
        <v>112</v>
      </c>
    </row>
    <row r="61" spans="2:2" x14ac:dyDescent="0.3">
      <c r="B61" s="39" t="s">
        <v>113</v>
      </c>
    </row>
    <row r="62" spans="2:2" x14ac:dyDescent="0.3">
      <c r="B62" s="39" t="s">
        <v>114</v>
      </c>
    </row>
    <row r="63" spans="2:2" x14ac:dyDescent="0.3">
      <c r="B63" s="39" t="s">
        <v>148</v>
      </c>
    </row>
    <row r="64" spans="2:2" x14ac:dyDescent="0.3">
      <c r="B64" s="39" t="s">
        <v>113</v>
      </c>
    </row>
    <row r="65" spans="2:2" x14ac:dyDescent="0.3">
      <c r="B65" s="39" t="s">
        <v>149</v>
      </c>
    </row>
    <row r="66" spans="2:2" x14ac:dyDescent="0.3">
      <c r="B66" s="39" t="s">
        <v>150</v>
      </c>
    </row>
    <row r="67" spans="2:2" x14ac:dyDescent="0.3">
      <c r="B67" s="39" t="s">
        <v>113</v>
      </c>
    </row>
    <row r="68" spans="2:2" x14ac:dyDescent="0.3">
      <c r="B68" s="39" t="s">
        <v>151</v>
      </c>
    </row>
    <row r="69" spans="2:2" x14ac:dyDescent="0.3">
      <c r="B69" s="39" t="s">
        <v>152</v>
      </c>
    </row>
    <row r="70" spans="2:2" x14ac:dyDescent="0.3">
      <c r="B70" s="39" t="s">
        <v>153</v>
      </c>
    </row>
    <row r="71" spans="2:2" x14ac:dyDescent="0.3">
      <c r="B71" s="39" t="s">
        <v>154</v>
      </c>
    </row>
    <row r="72" spans="2:2" x14ac:dyDescent="0.3">
      <c r="B72" s="39" t="s">
        <v>155</v>
      </c>
    </row>
    <row r="73" spans="2:2" x14ac:dyDescent="0.3">
      <c r="B73" s="39" t="s">
        <v>156</v>
      </c>
    </row>
    <row r="74" spans="2:2" x14ac:dyDescent="0.3">
      <c r="B74" s="39" t="s">
        <v>157</v>
      </c>
    </row>
    <row r="75" spans="2:2" x14ac:dyDescent="0.3">
      <c r="B75" s="39" t="s">
        <v>158</v>
      </c>
    </row>
    <row r="76" spans="2:2" x14ac:dyDescent="0.3">
      <c r="B76" s="39" t="s">
        <v>159</v>
      </c>
    </row>
    <row r="77" spans="2:2" x14ac:dyDescent="0.3">
      <c r="B77" s="39" t="s">
        <v>160</v>
      </c>
    </row>
    <row r="78" spans="2:2" x14ac:dyDescent="0.3">
      <c r="B78" s="39" t="s">
        <v>161</v>
      </c>
    </row>
    <row r="79" spans="2:2" x14ac:dyDescent="0.3">
      <c r="B79" s="39" t="s">
        <v>162</v>
      </c>
    </row>
    <row r="80" spans="2:2" x14ac:dyDescent="0.3">
      <c r="B80" s="39" t="s">
        <v>163</v>
      </c>
    </row>
    <row r="81" spans="2:2" x14ac:dyDescent="0.3">
      <c r="B81" s="39" t="s">
        <v>164</v>
      </c>
    </row>
    <row r="82" spans="2:2" x14ac:dyDescent="0.3">
      <c r="B82" s="39" t="s">
        <v>165</v>
      </c>
    </row>
    <row r="83" spans="2:2" x14ac:dyDescent="0.3">
      <c r="B83" s="39" t="s">
        <v>166</v>
      </c>
    </row>
    <row r="84" spans="2:2" x14ac:dyDescent="0.3">
      <c r="B84" s="39" t="s">
        <v>167</v>
      </c>
    </row>
    <row r="85" spans="2:2" x14ac:dyDescent="0.3">
      <c r="B85" s="39" t="s">
        <v>168</v>
      </c>
    </row>
    <row r="86" spans="2:2" x14ac:dyDescent="0.3">
      <c r="B86" s="39" t="s">
        <v>164</v>
      </c>
    </row>
    <row r="87" spans="2:2" x14ac:dyDescent="0.3">
      <c r="B87" s="39" t="s">
        <v>169</v>
      </c>
    </row>
    <row r="88" spans="2:2" x14ac:dyDescent="0.3">
      <c r="B88" s="39" t="s">
        <v>170</v>
      </c>
    </row>
    <row r="89" spans="2:2" x14ac:dyDescent="0.3">
      <c r="B89" s="39" t="s">
        <v>171</v>
      </c>
    </row>
    <row r="90" spans="2:2" x14ac:dyDescent="0.3">
      <c r="B90" s="39" t="s">
        <v>172</v>
      </c>
    </row>
    <row r="91" spans="2:2" x14ac:dyDescent="0.3">
      <c r="B91" s="39" t="s">
        <v>113</v>
      </c>
    </row>
    <row r="92" spans="2:2" x14ac:dyDescent="0.3">
      <c r="B92" s="39" t="s">
        <v>173</v>
      </c>
    </row>
    <row r="93" spans="2:2" x14ac:dyDescent="0.3">
      <c r="B93" s="40" t="s">
        <v>145</v>
      </c>
    </row>
    <row r="94" spans="2:2" x14ac:dyDescent="0.3">
      <c r="B94" s="39"/>
    </row>
    <row r="95" spans="2:2" x14ac:dyDescent="0.3">
      <c r="B95" s="38" t="s">
        <v>174</v>
      </c>
    </row>
    <row r="96" spans="2:2" x14ac:dyDescent="0.3">
      <c r="B96" s="40" t="s">
        <v>175</v>
      </c>
    </row>
    <row r="97" spans="2:2" x14ac:dyDescent="0.3">
      <c r="B97" s="39" t="s">
        <v>176</v>
      </c>
    </row>
    <row r="98" spans="2:2" x14ac:dyDescent="0.3">
      <c r="B98" s="39" t="s">
        <v>177</v>
      </c>
    </row>
    <row r="99" spans="2:2" x14ac:dyDescent="0.3">
      <c r="B99" s="39" t="s">
        <v>178</v>
      </c>
    </row>
    <row r="100" spans="2:2" x14ac:dyDescent="0.3">
      <c r="B100" s="39" t="s">
        <v>113</v>
      </c>
    </row>
    <row r="101" spans="2:2" x14ac:dyDescent="0.3">
      <c r="B101" s="39" t="s">
        <v>179</v>
      </c>
    </row>
    <row r="102" spans="2:2" x14ac:dyDescent="0.3">
      <c r="B102" s="39" t="s">
        <v>180</v>
      </c>
    </row>
    <row r="103" spans="2:2" x14ac:dyDescent="0.3">
      <c r="B103" s="39" t="s">
        <v>181</v>
      </c>
    </row>
    <row r="104" spans="2:2" x14ac:dyDescent="0.3">
      <c r="B104" s="39" t="s">
        <v>113</v>
      </c>
    </row>
    <row r="105" spans="2:2" x14ac:dyDescent="0.3">
      <c r="B105" s="38" t="s">
        <v>182</v>
      </c>
    </row>
    <row r="106" spans="2:2" x14ac:dyDescent="0.3">
      <c r="B106" s="39" t="s">
        <v>183</v>
      </c>
    </row>
    <row r="107" spans="2:2" x14ac:dyDescent="0.3">
      <c r="B107" s="39" t="s">
        <v>113</v>
      </c>
    </row>
    <row r="108" spans="2:2" x14ac:dyDescent="0.3">
      <c r="B108" s="39" t="s">
        <v>114</v>
      </c>
    </row>
    <row r="109" spans="2:2" x14ac:dyDescent="0.3">
      <c r="B109" s="39" t="s">
        <v>184</v>
      </c>
    </row>
    <row r="110" spans="2:2" x14ac:dyDescent="0.3">
      <c r="B110" s="39" t="s">
        <v>113</v>
      </c>
    </row>
    <row r="111" spans="2:2" x14ac:dyDescent="0.3">
      <c r="B111" s="39" t="s">
        <v>185</v>
      </c>
    </row>
    <row r="112" spans="2:2" x14ac:dyDescent="0.3">
      <c r="B112" s="39" t="s">
        <v>186</v>
      </c>
    </row>
    <row r="113" spans="2:2" x14ac:dyDescent="0.3">
      <c r="B113" s="39" t="s">
        <v>113</v>
      </c>
    </row>
    <row r="114" spans="2:2" x14ac:dyDescent="0.3">
      <c r="B114" s="39" t="s">
        <v>151</v>
      </c>
    </row>
    <row r="115" spans="2:2" x14ac:dyDescent="0.3">
      <c r="B115" s="39" t="s">
        <v>152</v>
      </c>
    </row>
    <row r="116" spans="2:2" x14ac:dyDescent="0.3">
      <c r="B116" s="39" t="s">
        <v>187</v>
      </c>
    </row>
    <row r="117" spans="2:2" x14ac:dyDescent="0.3">
      <c r="B117" s="39" t="s">
        <v>188</v>
      </c>
    </row>
    <row r="118" spans="2:2" x14ac:dyDescent="0.3">
      <c r="B118" s="39" t="s">
        <v>189</v>
      </c>
    </row>
    <row r="119" spans="2:2" x14ac:dyDescent="0.3">
      <c r="B119" s="39" t="s">
        <v>190</v>
      </c>
    </row>
    <row r="120" spans="2:2" x14ac:dyDescent="0.3">
      <c r="B120" s="39" t="s">
        <v>191</v>
      </c>
    </row>
    <row r="121" spans="2:2" x14ac:dyDescent="0.3">
      <c r="B121" s="39" t="s">
        <v>192</v>
      </c>
    </row>
    <row r="122" spans="2:2" x14ac:dyDescent="0.3">
      <c r="B122" s="39" t="s">
        <v>155</v>
      </c>
    </row>
    <row r="123" spans="2:2" x14ac:dyDescent="0.3">
      <c r="B123" s="39" t="s">
        <v>193</v>
      </c>
    </row>
    <row r="124" spans="2:2" x14ac:dyDescent="0.3">
      <c r="B124" s="39" t="s">
        <v>194</v>
      </c>
    </row>
    <row r="125" spans="2:2" x14ac:dyDescent="0.3">
      <c r="B125" s="39" t="s">
        <v>155</v>
      </c>
    </row>
    <row r="126" spans="2:2" x14ac:dyDescent="0.3">
      <c r="B126" s="39" t="s">
        <v>195</v>
      </c>
    </row>
    <row r="127" spans="2:2" x14ac:dyDescent="0.3">
      <c r="B127" s="39" t="s">
        <v>196</v>
      </c>
    </row>
    <row r="128" spans="2:2" x14ac:dyDescent="0.3">
      <c r="B128" s="39" t="s">
        <v>197</v>
      </c>
    </row>
    <row r="129" spans="2:2" x14ac:dyDescent="0.3">
      <c r="B129" s="39" t="s">
        <v>198</v>
      </c>
    </row>
    <row r="130" spans="2:2" x14ac:dyDescent="0.3">
      <c r="B130" s="39" t="s">
        <v>199</v>
      </c>
    </row>
    <row r="131" spans="2:2" x14ac:dyDescent="0.3">
      <c r="B131" s="39" t="s">
        <v>200</v>
      </c>
    </row>
    <row r="132" spans="2:2" x14ac:dyDescent="0.3">
      <c r="B132" s="39" t="s">
        <v>155</v>
      </c>
    </row>
    <row r="133" spans="2:2" x14ac:dyDescent="0.3">
      <c r="B133" s="39" t="s">
        <v>201</v>
      </c>
    </row>
    <row r="134" spans="2:2" x14ac:dyDescent="0.3">
      <c r="B134" s="39" t="s">
        <v>172</v>
      </c>
    </row>
    <row r="135" spans="2:2" x14ac:dyDescent="0.3">
      <c r="B135" s="39" t="s">
        <v>113</v>
      </c>
    </row>
    <row r="136" spans="2:2" x14ac:dyDescent="0.3">
      <c r="B136" s="38" t="s">
        <v>202</v>
      </c>
    </row>
    <row r="137" spans="2:2" x14ac:dyDescent="0.3">
      <c r="B137" s="39" t="s">
        <v>203</v>
      </c>
    </row>
    <row r="138" spans="2:2" x14ac:dyDescent="0.3">
      <c r="B138" s="39" t="s">
        <v>204</v>
      </c>
    </row>
    <row r="139" spans="2:2" x14ac:dyDescent="0.3">
      <c r="B139" s="39" t="s">
        <v>113</v>
      </c>
    </row>
    <row r="140" spans="2:2" x14ac:dyDescent="0.3">
      <c r="B140" s="39" t="s">
        <v>205</v>
      </c>
    </row>
    <row r="141" spans="2:2" x14ac:dyDescent="0.3">
      <c r="B141" s="39" t="s">
        <v>113</v>
      </c>
    </row>
    <row r="142" spans="2:2" x14ac:dyDescent="0.3">
      <c r="B142" s="39" t="s">
        <v>206</v>
      </c>
    </row>
    <row r="143" spans="2:2" x14ac:dyDescent="0.3">
      <c r="B143" s="39" t="s">
        <v>207</v>
      </c>
    </row>
    <row r="144" spans="2:2" x14ac:dyDescent="0.3">
      <c r="B144" s="39" t="s">
        <v>208</v>
      </c>
    </row>
    <row r="145" spans="2:2" x14ac:dyDescent="0.3">
      <c r="B145" s="39" t="s">
        <v>209</v>
      </c>
    </row>
    <row r="146" spans="2:2" x14ac:dyDescent="0.3">
      <c r="B146" s="39" t="s">
        <v>210</v>
      </c>
    </row>
    <row r="147" spans="2:2" x14ac:dyDescent="0.3">
      <c r="B147" s="39" t="s">
        <v>211</v>
      </c>
    </row>
    <row r="148" spans="2:2" x14ac:dyDescent="0.3">
      <c r="B148" s="39" t="s">
        <v>113</v>
      </c>
    </row>
    <row r="149" spans="2:2" x14ac:dyDescent="0.3">
      <c r="B149" s="39" t="s">
        <v>212</v>
      </c>
    </row>
    <row r="150" spans="2:2" x14ac:dyDescent="0.3">
      <c r="B150" s="39" t="s">
        <v>113</v>
      </c>
    </row>
    <row r="151" spans="2:2" x14ac:dyDescent="0.3">
      <c r="B151" s="39" t="s">
        <v>213</v>
      </c>
    </row>
    <row r="152" spans="2:2" x14ac:dyDescent="0.3">
      <c r="B152" s="40" t="s">
        <v>145</v>
      </c>
    </row>
  </sheetData>
  <mergeCells count="1">
    <mergeCell ref="A1:B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Invoice_Log</vt:lpstr>
      <vt:lpstr>Dashboard</vt:lpstr>
      <vt:lpstr>Monthly_Report</vt:lpstr>
      <vt:lpstr>VBA_Code_Reference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Anurag Thakur</cp:lastModifiedBy>
  <dcterms:created xsi:type="dcterms:W3CDTF">2026-04-29T20:10:01Z</dcterms:created>
  <dcterms:modified xsi:type="dcterms:W3CDTF">2026-04-29T20:18:23Z</dcterms:modified>
</cp:coreProperties>
</file>